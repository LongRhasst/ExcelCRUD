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huylongpham/Documents/Freelance/flour/"/>
    </mc:Choice>
  </mc:AlternateContent>
  <xr:revisionPtr revIDLastSave="0" documentId="8_{E8C2C350-37B2-6B47-A477-0A8E56016F37}" xr6:coauthVersionLast="47" xr6:coauthVersionMax="47" xr10:uidLastSave="{00000000-0000-0000-0000-000000000000}"/>
  <bookViews>
    <workbookView xWindow="0" yWindow="620" windowWidth="23240" windowHeight="9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9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8" i="1" l="1"/>
  <c r="E6" i="1"/>
  <c r="E7" i="1"/>
  <c r="B6" i="1"/>
  <c r="C7" i="1" s="1"/>
  <c r="C8" i="1" l="1"/>
  <c r="D8" i="1" s="1"/>
  <c r="C6" i="1"/>
  <c r="D6" i="1" s="1"/>
  <c r="D7" i="1"/>
</calcChain>
</file>

<file path=xl/sharedStrings.xml><?xml version="1.0" encoding="utf-8"?>
<sst xmlns="http://schemas.openxmlformats.org/spreadsheetml/2006/main" count="101" uniqueCount="65">
  <si>
    <t>WG</t>
  </si>
  <si>
    <t>Muối</t>
  </si>
  <si>
    <t>Đường</t>
  </si>
  <si>
    <t>Nước</t>
  </si>
  <si>
    <t>Tổng</t>
  </si>
  <si>
    <t>T.sa</t>
  </si>
  <si>
    <t>PH</t>
  </si>
  <si>
    <t>TĐ</t>
  </si>
  <si>
    <t>HPĐ</t>
  </si>
  <si>
    <t>BT</t>
  </si>
  <si>
    <t>AC</t>
  </si>
  <si>
    <t>MS</t>
  </si>
  <si>
    <t>Mico</t>
  </si>
  <si>
    <t>Vifon</t>
  </si>
  <si>
    <t>PHX</t>
  </si>
  <si>
    <t>PAO</t>
  </si>
  <si>
    <t>B.lẻ</t>
  </si>
  <si>
    <t>Sl</t>
  </si>
  <si>
    <t>BC</t>
  </si>
  <si>
    <t>TB</t>
  </si>
  <si>
    <t>BP3</t>
  </si>
  <si>
    <t>HY</t>
  </si>
  <si>
    <t>BP9</t>
  </si>
  <si>
    <t>HQ8</t>
  </si>
  <si>
    <t>BP5</t>
  </si>
  <si>
    <t>BP6</t>
  </si>
  <si>
    <t>BP7</t>
  </si>
  <si>
    <t>BP8</t>
  </si>
  <si>
    <t>CN</t>
  </si>
  <si>
    <t>F1</t>
  </si>
  <si>
    <t>F2</t>
  </si>
  <si>
    <t>F3</t>
  </si>
  <si>
    <t>CTCL</t>
  </si>
  <si>
    <t>NL</t>
  </si>
  <si>
    <t>DB</t>
  </si>
  <si>
    <t>APH</t>
  </si>
  <si>
    <t>DNS</t>
  </si>
  <si>
    <t>CWRS</t>
  </si>
  <si>
    <t>AH</t>
  </si>
  <si>
    <t>CPS</t>
  </si>
  <si>
    <t>APW</t>
  </si>
  <si>
    <t>ASW</t>
  </si>
  <si>
    <t>EU</t>
  </si>
  <si>
    <t>EUF</t>
  </si>
  <si>
    <t>HRW</t>
  </si>
  <si>
    <t xml:space="preserve">HPĐ </t>
  </si>
  <si>
    <t xml:space="preserve">BT </t>
  </si>
  <si>
    <t>SW</t>
  </si>
  <si>
    <t xml:space="preserve">Lương bột </t>
  </si>
  <si>
    <t>cần dùng</t>
  </si>
  <si>
    <t>Bột tồn</t>
  </si>
  <si>
    <t>Bột SX</t>
  </si>
  <si>
    <t>Lúa</t>
  </si>
  <si>
    <t xml:space="preserve">Muối </t>
  </si>
  <si>
    <t>Tro</t>
  </si>
  <si>
    <t>Độ rơi</t>
  </si>
  <si>
    <t>Đạm</t>
  </si>
  <si>
    <t>( tấn)</t>
  </si>
  <si>
    <t>(tấn)</t>
  </si>
  <si>
    <t>( Tấn)</t>
  </si>
  <si>
    <t>( % )</t>
  </si>
  <si>
    <t>( giây)</t>
  </si>
  <si>
    <t>Đ. Rơi</t>
  </si>
  <si>
    <t>CT. Phối trộn</t>
  </si>
  <si>
    <t>npm i --save-dev @types/node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</si>
</sst>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4"/>
      <color theme="1"/>
      <name val="Times New Roman"/>
      <family val="2"/>
    </font>
    <font>
      <sz val="10"/>
      <color theme="1"/>
      <name val="Times New Roman"/>
      <family val="2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0" xfId="0" applyFont="1"/>
    <xf numFmtId="0" fontId="1" fillId="0" borderId="6" xfId="0" applyFont="1" applyBorder="1"/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0" xfId="0" applyNumberFormat="1" applyFont="1"/>
    <xf numFmtId="9" fontId="1" fillId="0" borderId="3" xfId="0" applyNumberFormat="1" applyFont="1" applyBorder="1"/>
    <xf numFmtId="9" fontId="1" fillId="0" borderId="2" xfId="0" applyNumberFormat="1" applyFont="1" applyBorder="1"/>
    <xf numFmtId="9" fontId="1" fillId="0" borderId="4" xfId="0" applyNumberFormat="1" applyFont="1" applyBorder="1"/>
    <xf numFmtId="164" fontId="1" fillId="0" borderId="1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D47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8.7109375" defaultRowHeight="13" x14ac:dyDescent="0.15"/>
  <cols>
    <col min="1" max="2" width="8.7109375" style="9"/>
    <col min="3" max="4" width="8.7109375" style="14"/>
    <col min="5" max="6" width="8.7109375" style="9"/>
    <col min="7" max="7" width="5.140625" style="9" customWidth="1"/>
    <col min="8" max="55" width="5.5703125" style="9" customWidth="1"/>
    <col min="56" max="16384" width="8.7109375" style="9"/>
  </cols>
  <sheetData>
    <row r="3" spans="1:56" ht="18" customHeight="1" x14ac:dyDescent="0.15">
      <c r="A3" s="21" t="s">
        <v>33</v>
      </c>
      <c r="B3" s="2" t="s">
        <v>52</v>
      </c>
      <c r="C3" s="11" t="s">
        <v>51</v>
      </c>
      <c r="D3" s="11" t="s">
        <v>50</v>
      </c>
      <c r="E3" s="2" t="s">
        <v>48</v>
      </c>
      <c r="F3" s="21" t="s">
        <v>34</v>
      </c>
      <c r="G3" s="23" t="s">
        <v>32</v>
      </c>
      <c r="H3" s="24"/>
      <c r="I3" s="24"/>
      <c r="J3" s="24"/>
      <c r="K3" s="24"/>
      <c r="L3" s="24"/>
      <c r="M3" s="24"/>
      <c r="N3" s="25"/>
      <c r="O3" s="22" t="s">
        <v>63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7"/>
      <c r="BD3" s="8"/>
    </row>
    <row r="4" spans="1:56" ht="16" x14ac:dyDescent="0.2">
      <c r="A4" s="19"/>
      <c r="B4" s="1"/>
      <c r="C4" s="12"/>
      <c r="D4" s="12"/>
      <c r="E4" s="1" t="s">
        <v>49</v>
      </c>
      <c r="F4" s="19"/>
      <c r="G4" s="2" t="s">
        <v>56</v>
      </c>
      <c r="H4" s="26" t="s">
        <v>64</v>
      </c>
      <c r="I4" s="5" t="s">
        <v>54</v>
      </c>
      <c r="J4" s="5" t="s">
        <v>62</v>
      </c>
      <c r="K4" s="5" t="s">
        <v>1</v>
      </c>
      <c r="L4" s="5" t="s">
        <v>2</v>
      </c>
      <c r="M4" s="5" t="s">
        <v>3</v>
      </c>
      <c r="N4" s="5" t="s">
        <v>4</v>
      </c>
      <c r="O4" s="22" t="s">
        <v>20</v>
      </c>
      <c r="P4" s="22"/>
      <c r="Q4" s="22" t="s">
        <v>21</v>
      </c>
      <c r="R4" s="22"/>
      <c r="S4" s="22" t="s">
        <v>5</v>
      </c>
      <c r="T4" s="22"/>
      <c r="U4" s="22" t="s">
        <v>6</v>
      </c>
      <c r="V4" s="22"/>
      <c r="W4" s="22" t="s">
        <v>14</v>
      </c>
      <c r="X4" s="22"/>
      <c r="Y4" s="22" t="s">
        <v>7</v>
      </c>
      <c r="Z4" s="22"/>
      <c r="AA4" s="22" t="s">
        <v>17</v>
      </c>
      <c r="AB4" s="22"/>
      <c r="AC4" s="22" t="s">
        <v>10</v>
      </c>
      <c r="AD4" s="22"/>
      <c r="AE4" s="22" t="s">
        <v>11</v>
      </c>
      <c r="AF4" s="22"/>
      <c r="AG4" s="22" t="s">
        <v>12</v>
      </c>
      <c r="AH4" s="22"/>
      <c r="AI4" s="22"/>
      <c r="AJ4" s="22" t="s">
        <v>13</v>
      </c>
      <c r="AK4" s="22"/>
      <c r="AL4" s="22"/>
      <c r="AM4" s="22" t="s">
        <v>22</v>
      </c>
      <c r="AN4" s="22"/>
      <c r="AO4" s="22"/>
      <c r="AP4" s="22" t="s">
        <v>23</v>
      </c>
      <c r="AQ4" s="22"/>
      <c r="AR4" s="22"/>
      <c r="AS4" s="22" t="s">
        <v>24</v>
      </c>
      <c r="AT4" s="22"/>
      <c r="AU4" s="22" t="s">
        <v>25</v>
      </c>
      <c r="AV4" s="22"/>
      <c r="AW4" s="22" t="s">
        <v>26</v>
      </c>
      <c r="AX4" s="22"/>
      <c r="AY4" s="22" t="s">
        <v>27</v>
      </c>
      <c r="AZ4" s="22"/>
      <c r="BA4" s="22" t="s">
        <v>28</v>
      </c>
      <c r="BB4" s="22"/>
      <c r="BC4" s="7"/>
      <c r="BD4" s="10"/>
    </row>
    <row r="5" spans="1:56" x14ac:dyDescent="0.15">
      <c r="A5" s="20"/>
      <c r="B5" s="3" t="s">
        <v>57</v>
      </c>
      <c r="C5" s="13" t="s">
        <v>59</v>
      </c>
      <c r="D5" s="13" t="s">
        <v>58</v>
      </c>
      <c r="E5" s="3" t="s">
        <v>57</v>
      </c>
      <c r="F5" s="20"/>
      <c r="G5" s="3"/>
      <c r="H5" s="6" t="s">
        <v>60</v>
      </c>
      <c r="I5" s="6" t="s">
        <v>60</v>
      </c>
      <c r="J5" s="6" t="s">
        <v>61</v>
      </c>
      <c r="K5" s="6"/>
      <c r="L5" s="6"/>
      <c r="M5" s="6"/>
      <c r="N5" s="6"/>
      <c r="O5" s="7">
        <v>1</v>
      </c>
      <c r="P5" s="7">
        <v>2</v>
      </c>
      <c r="Q5" s="7">
        <v>1</v>
      </c>
      <c r="R5" s="7">
        <v>2</v>
      </c>
      <c r="S5" s="7">
        <v>1</v>
      </c>
      <c r="T5" s="7">
        <v>2</v>
      </c>
      <c r="U5" s="7">
        <v>1</v>
      </c>
      <c r="V5" s="7">
        <v>2</v>
      </c>
      <c r="W5" s="7" t="s">
        <v>15</v>
      </c>
      <c r="X5" s="7" t="s">
        <v>16</v>
      </c>
      <c r="Y5" s="7">
        <v>1</v>
      </c>
      <c r="Z5" s="7">
        <v>2</v>
      </c>
      <c r="AA5" s="7" t="s">
        <v>18</v>
      </c>
      <c r="AB5" s="7" t="s">
        <v>19</v>
      </c>
      <c r="AC5" s="7" t="s">
        <v>45</v>
      </c>
      <c r="AD5" s="7" t="s">
        <v>46</v>
      </c>
      <c r="AE5" s="7" t="s">
        <v>8</v>
      </c>
      <c r="AF5" s="7" t="s">
        <v>9</v>
      </c>
      <c r="AG5" s="7"/>
      <c r="AH5" s="7"/>
      <c r="AI5" s="7"/>
      <c r="AJ5" s="7"/>
      <c r="AK5" s="7"/>
      <c r="AL5" s="7"/>
      <c r="AM5" s="7">
        <v>1</v>
      </c>
      <c r="AN5" s="7">
        <v>2</v>
      </c>
      <c r="AO5" s="7">
        <v>3</v>
      </c>
      <c r="AP5" s="7">
        <v>1</v>
      </c>
      <c r="AQ5" s="7">
        <v>2</v>
      </c>
      <c r="AR5" s="7">
        <v>3</v>
      </c>
      <c r="AS5" s="7">
        <v>1</v>
      </c>
      <c r="AT5" s="7">
        <v>2</v>
      </c>
      <c r="AU5" s="7">
        <v>1</v>
      </c>
      <c r="AV5" s="7">
        <v>2</v>
      </c>
      <c r="AW5" s="7">
        <v>1</v>
      </c>
      <c r="AX5" s="7">
        <v>2</v>
      </c>
      <c r="AY5" s="7">
        <v>1</v>
      </c>
      <c r="AZ5" s="7">
        <v>2</v>
      </c>
      <c r="BA5" s="7">
        <v>1</v>
      </c>
      <c r="BB5" s="7">
        <v>2</v>
      </c>
      <c r="BC5" s="7"/>
      <c r="BD5" s="10"/>
    </row>
    <row r="6" spans="1:56" ht="12" customHeight="1" x14ac:dyDescent="0.15">
      <c r="A6" s="19" t="s">
        <v>35</v>
      </c>
      <c r="B6" s="21">
        <f>E6/45*100</f>
        <v>27.777777777777779</v>
      </c>
      <c r="C6" s="12">
        <f>B6*45/100</f>
        <v>12.5</v>
      </c>
      <c r="D6" s="12">
        <f>C6-E6</f>
        <v>0</v>
      </c>
      <c r="E6" s="1">
        <f>SUM(O6:BC6)*BD39</f>
        <v>12.5</v>
      </c>
      <c r="F6" s="1" t="s">
        <v>29</v>
      </c>
      <c r="G6" s="1">
        <v>10</v>
      </c>
      <c r="H6" s="4">
        <v>28</v>
      </c>
      <c r="I6" s="4">
        <v>0.35</v>
      </c>
      <c r="J6" s="4">
        <v>420</v>
      </c>
      <c r="K6" s="4"/>
      <c r="L6" s="4"/>
      <c r="M6" s="4"/>
      <c r="N6" s="4"/>
      <c r="O6" s="15"/>
      <c r="P6" s="15"/>
      <c r="Q6" s="15">
        <v>0.25</v>
      </c>
      <c r="R6" s="15"/>
      <c r="S6" s="15">
        <v>0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</row>
    <row r="7" spans="1:56" ht="12" customHeight="1" x14ac:dyDescent="0.15">
      <c r="A7" s="19"/>
      <c r="B7" s="19"/>
      <c r="C7" s="12">
        <f>B6*30/100</f>
        <v>8.3333333333333339</v>
      </c>
      <c r="D7" s="12">
        <f>C7-E7</f>
        <v>-19.166666666666671</v>
      </c>
      <c r="E7" s="1">
        <f>SUM(O7:BC7)*BD39</f>
        <v>27.500000000000004</v>
      </c>
      <c r="F7" s="1" t="s">
        <v>30</v>
      </c>
      <c r="G7" s="1">
        <v>13</v>
      </c>
      <c r="H7" s="4">
        <v>34</v>
      </c>
      <c r="I7" s="4">
        <v>0.6</v>
      </c>
      <c r="J7" s="4">
        <v>380</v>
      </c>
      <c r="K7" s="4"/>
      <c r="L7" s="4"/>
      <c r="M7" s="4"/>
      <c r="N7" s="4"/>
      <c r="O7" s="15">
        <v>0.25</v>
      </c>
      <c r="P7" s="15"/>
      <c r="Q7" s="15">
        <v>0.3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</row>
    <row r="8" spans="1:56" ht="12" customHeight="1" x14ac:dyDescent="0.15">
      <c r="A8" s="19"/>
      <c r="B8" s="20"/>
      <c r="C8" s="12">
        <f>B6*5/100</f>
        <v>1.3888888888888888</v>
      </c>
      <c r="D8" s="12">
        <f>C8-E8</f>
        <v>1.3888888888888888</v>
      </c>
      <c r="E8" s="1">
        <f>SUM(O8:BC8)*BD39</f>
        <v>0</v>
      </c>
      <c r="F8" s="1" t="s">
        <v>31</v>
      </c>
      <c r="G8" s="1">
        <v>15</v>
      </c>
      <c r="H8" s="4"/>
      <c r="I8" s="4">
        <v>1.2</v>
      </c>
      <c r="J8" s="4">
        <v>280</v>
      </c>
      <c r="K8" s="4"/>
      <c r="L8" s="4"/>
      <c r="M8" s="4"/>
      <c r="N8" s="4"/>
      <c r="O8" s="15">
        <v>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</row>
    <row r="9" spans="1:56" ht="12" customHeight="1" x14ac:dyDescent="0.15">
      <c r="A9" s="21" t="s">
        <v>36</v>
      </c>
      <c r="B9" s="21"/>
      <c r="C9" s="11"/>
      <c r="D9" s="11"/>
      <c r="E9" s="2">
        <f t="shared" ref="E9:E38" si="0">SUM(O9:BC9)/100*O40</f>
        <v>0</v>
      </c>
      <c r="F9" s="2" t="s">
        <v>29</v>
      </c>
      <c r="G9" s="2"/>
      <c r="H9" s="5">
        <v>29</v>
      </c>
      <c r="I9" s="5"/>
      <c r="J9" s="5"/>
      <c r="K9" s="5"/>
      <c r="L9" s="5"/>
      <c r="M9" s="5"/>
      <c r="N9" s="5"/>
      <c r="O9" s="16">
        <v>0.25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</row>
    <row r="10" spans="1:56" ht="12" customHeight="1" x14ac:dyDescent="0.15">
      <c r="A10" s="19"/>
      <c r="B10" s="19"/>
      <c r="C10" s="12"/>
      <c r="D10" s="12"/>
      <c r="E10" s="1">
        <f t="shared" si="0"/>
        <v>0</v>
      </c>
      <c r="F10" s="1" t="s">
        <v>30</v>
      </c>
      <c r="G10" s="1"/>
      <c r="H10" s="4">
        <v>36</v>
      </c>
      <c r="I10" s="4"/>
      <c r="J10" s="4"/>
      <c r="K10" s="4"/>
      <c r="L10" s="4"/>
      <c r="M10" s="4"/>
      <c r="N10" s="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</row>
    <row r="11" spans="1:56" ht="12" customHeight="1" x14ac:dyDescent="0.15">
      <c r="A11" s="20"/>
      <c r="B11" s="20"/>
      <c r="C11" s="13"/>
      <c r="D11" s="13"/>
      <c r="E11" s="1">
        <f t="shared" si="0"/>
        <v>0</v>
      </c>
      <c r="F11" s="3" t="s">
        <v>31</v>
      </c>
      <c r="G11" s="3"/>
      <c r="H11" s="6"/>
      <c r="I11" s="6"/>
      <c r="J11" s="6"/>
      <c r="K11" s="6"/>
      <c r="L11" s="6"/>
      <c r="M11" s="6"/>
      <c r="N11" s="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</row>
    <row r="12" spans="1:56" ht="12" customHeight="1" x14ac:dyDescent="0.15">
      <c r="A12" s="19" t="s">
        <v>37</v>
      </c>
      <c r="B12" s="21"/>
      <c r="C12" s="12"/>
      <c r="D12" s="12"/>
      <c r="E12" s="2">
        <f t="shared" si="0"/>
        <v>0</v>
      </c>
      <c r="F12" s="1" t="s">
        <v>29</v>
      </c>
      <c r="G12" s="1"/>
      <c r="H12" s="4">
        <v>28</v>
      </c>
      <c r="I12" s="4"/>
      <c r="J12" s="4"/>
      <c r="K12" s="4"/>
      <c r="L12" s="4"/>
      <c r="M12" s="4"/>
      <c r="N12" s="4"/>
      <c r="O12" s="15">
        <v>0.25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</row>
    <row r="13" spans="1:56" ht="12" customHeight="1" x14ac:dyDescent="0.15">
      <c r="A13" s="19"/>
      <c r="B13" s="19"/>
      <c r="C13" s="12"/>
      <c r="D13" s="12"/>
      <c r="E13" s="1">
        <f t="shared" si="0"/>
        <v>0</v>
      </c>
      <c r="F13" s="1" t="s">
        <v>30</v>
      </c>
      <c r="G13" s="1"/>
      <c r="H13" s="4">
        <v>32</v>
      </c>
      <c r="I13" s="4"/>
      <c r="J13" s="4"/>
      <c r="K13" s="4"/>
      <c r="L13" s="4"/>
      <c r="M13" s="4"/>
      <c r="N13" s="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</row>
    <row r="14" spans="1:56" ht="12" customHeight="1" x14ac:dyDescent="0.15">
      <c r="A14" s="19"/>
      <c r="B14" s="20"/>
      <c r="C14" s="12"/>
      <c r="D14" s="12"/>
      <c r="E14" s="3">
        <f t="shared" si="0"/>
        <v>0</v>
      </c>
      <c r="F14" s="1" t="s">
        <v>31</v>
      </c>
      <c r="G14" s="1"/>
      <c r="H14" s="4"/>
      <c r="I14" s="4"/>
      <c r="J14" s="4"/>
      <c r="K14" s="4"/>
      <c r="L14" s="4"/>
      <c r="M14" s="4"/>
      <c r="N14" s="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</row>
    <row r="15" spans="1:56" ht="12" customHeight="1" x14ac:dyDescent="0.15">
      <c r="A15" s="21" t="s">
        <v>38</v>
      </c>
      <c r="B15" s="21"/>
      <c r="C15" s="11"/>
      <c r="D15" s="11"/>
      <c r="E15" s="1">
        <f t="shared" si="0"/>
        <v>0</v>
      </c>
      <c r="F15" s="2" t="s">
        <v>29</v>
      </c>
      <c r="G15" s="2"/>
      <c r="H15" s="5">
        <v>24</v>
      </c>
      <c r="I15" s="5"/>
      <c r="J15" s="5"/>
      <c r="K15" s="5"/>
      <c r="L15" s="5"/>
      <c r="M15" s="5"/>
      <c r="N15" s="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</row>
    <row r="16" spans="1:56" ht="12" customHeight="1" x14ac:dyDescent="0.15">
      <c r="A16" s="19"/>
      <c r="B16" s="19"/>
      <c r="C16" s="12"/>
      <c r="D16" s="12"/>
      <c r="E16" s="1">
        <f t="shared" si="0"/>
        <v>0</v>
      </c>
      <c r="F16" s="1" t="s">
        <v>30</v>
      </c>
      <c r="G16" s="1"/>
      <c r="H16" s="4">
        <v>30</v>
      </c>
      <c r="I16" s="4"/>
      <c r="J16" s="4"/>
      <c r="K16" s="4"/>
      <c r="L16" s="4"/>
      <c r="M16" s="4"/>
      <c r="N16" s="4"/>
      <c r="O16" s="15">
        <v>0.2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</row>
    <row r="17" spans="1:55" ht="12" customHeight="1" x14ac:dyDescent="0.15">
      <c r="A17" s="20"/>
      <c r="B17" s="20"/>
      <c r="C17" s="13"/>
      <c r="D17" s="13"/>
      <c r="E17" s="1">
        <f t="shared" si="0"/>
        <v>0</v>
      </c>
      <c r="F17" s="3" t="s">
        <v>31</v>
      </c>
      <c r="G17" s="3"/>
      <c r="H17" s="6"/>
      <c r="I17" s="6"/>
      <c r="J17" s="6"/>
      <c r="K17" s="6"/>
      <c r="L17" s="6"/>
      <c r="M17" s="6"/>
      <c r="N17" s="6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</row>
    <row r="18" spans="1:55" ht="12" customHeight="1" x14ac:dyDescent="0.15">
      <c r="A18" s="19" t="s">
        <v>39</v>
      </c>
      <c r="B18" s="21"/>
      <c r="C18" s="12"/>
      <c r="D18" s="12"/>
      <c r="E18" s="2">
        <f t="shared" si="0"/>
        <v>0</v>
      </c>
      <c r="F18" s="1" t="s">
        <v>29</v>
      </c>
      <c r="G18" s="1"/>
      <c r="H18" s="4">
        <v>25</v>
      </c>
      <c r="I18" s="4"/>
      <c r="J18" s="4"/>
      <c r="K18" s="4"/>
      <c r="L18" s="4"/>
      <c r="M18" s="4"/>
      <c r="N18" s="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</row>
    <row r="19" spans="1:55" ht="12" customHeight="1" x14ac:dyDescent="0.15">
      <c r="A19" s="19"/>
      <c r="B19" s="19"/>
      <c r="C19" s="12"/>
      <c r="D19" s="12"/>
      <c r="E19" s="1">
        <f t="shared" si="0"/>
        <v>0</v>
      </c>
      <c r="F19" s="1" t="s">
        <v>30</v>
      </c>
      <c r="G19" s="1"/>
      <c r="H19" s="4">
        <v>31</v>
      </c>
      <c r="I19" s="4"/>
      <c r="J19" s="4"/>
      <c r="K19" s="4"/>
      <c r="L19" s="4"/>
      <c r="M19" s="4"/>
      <c r="N19" s="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</row>
    <row r="20" spans="1:55" ht="12" customHeight="1" x14ac:dyDescent="0.15">
      <c r="A20" s="19"/>
      <c r="B20" s="20"/>
      <c r="C20" s="12"/>
      <c r="D20" s="12"/>
      <c r="E20" s="3">
        <f t="shared" si="0"/>
        <v>0</v>
      </c>
      <c r="F20" s="1" t="s">
        <v>31</v>
      </c>
      <c r="G20" s="1"/>
      <c r="H20" s="4"/>
      <c r="I20" s="4"/>
      <c r="J20" s="4"/>
      <c r="K20" s="4"/>
      <c r="L20" s="4"/>
      <c r="M20" s="4"/>
      <c r="N20" s="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</row>
    <row r="21" spans="1:55" ht="12" customHeight="1" x14ac:dyDescent="0.15">
      <c r="A21" s="21" t="s">
        <v>44</v>
      </c>
      <c r="B21" s="21"/>
      <c r="C21" s="11"/>
      <c r="D21" s="11"/>
      <c r="E21" s="1">
        <f t="shared" si="0"/>
        <v>0</v>
      </c>
      <c r="F21" s="2" t="s">
        <v>29</v>
      </c>
      <c r="G21" s="2"/>
      <c r="H21" s="5">
        <v>23</v>
      </c>
      <c r="I21" s="5"/>
      <c r="J21" s="5"/>
      <c r="K21" s="5"/>
      <c r="L21" s="5"/>
      <c r="M21" s="5"/>
      <c r="N21" s="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</row>
    <row r="22" spans="1:55" ht="12" customHeight="1" x14ac:dyDescent="0.15">
      <c r="A22" s="19"/>
      <c r="B22" s="19"/>
      <c r="C22" s="12"/>
      <c r="D22" s="12"/>
      <c r="E22" s="1">
        <f t="shared" si="0"/>
        <v>0</v>
      </c>
      <c r="F22" s="1" t="s">
        <v>30</v>
      </c>
      <c r="G22" s="1"/>
      <c r="H22" s="4">
        <v>29</v>
      </c>
      <c r="I22" s="4"/>
      <c r="J22" s="4"/>
      <c r="K22" s="4"/>
      <c r="L22" s="4"/>
      <c r="M22" s="4"/>
      <c r="N22" s="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</row>
    <row r="23" spans="1:55" ht="12" customHeight="1" x14ac:dyDescent="0.15">
      <c r="A23" s="20"/>
      <c r="B23" s="20"/>
      <c r="C23" s="13"/>
      <c r="D23" s="13"/>
      <c r="E23" s="1">
        <f t="shared" si="0"/>
        <v>0</v>
      </c>
      <c r="F23" s="3" t="s">
        <v>31</v>
      </c>
      <c r="G23" s="3"/>
      <c r="H23" s="6"/>
      <c r="I23" s="6"/>
      <c r="J23" s="6"/>
      <c r="K23" s="6"/>
      <c r="L23" s="6"/>
      <c r="M23" s="6"/>
      <c r="N23" s="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</row>
    <row r="24" spans="1:55" ht="12" customHeight="1" x14ac:dyDescent="0.15">
      <c r="A24" s="19" t="s">
        <v>40</v>
      </c>
      <c r="B24" s="21"/>
      <c r="C24" s="12"/>
      <c r="D24" s="12"/>
      <c r="E24" s="2">
        <f t="shared" si="0"/>
        <v>0</v>
      </c>
      <c r="F24" s="1" t="s">
        <v>29</v>
      </c>
      <c r="G24" s="1"/>
      <c r="H24" s="4">
        <v>22</v>
      </c>
      <c r="I24" s="4"/>
      <c r="J24" s="4"/>
      <c r="K24" s="4"/>
      <c r="L24" s="4"/>
      <c r="M24" s="4"/>
      <c r="N24" s="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</row>
    <row r="25" spans="1:55" ht="12" customHeight="1" x14ac:dyDescent="0.15">
      <c r="A25" s="19"/>
      <c r="B25" s="19"/>
      <c r="C25" s="12"/>
      <c r="D25" s="12"/>
      <c r="E25" s="1">
        <f t="shared" si="0"/>
        <v>0</v>
      </c>
      <c r="F25" s="1" t="s">
        <v>30</v>
      </c>
      <c r="G25" s="1"/>
      <c r="H25" s="4">
        <v>28</v>
      </c>
      <c r="I25" s="4"/>
      <c r="J25" s="4"/>
      <c r="K25" s="4"/>
      <c r="L25" s="4"/>
      <c r="M25" s="4"/>
      <c r="N25" s="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</row>
    <row r="26" spans="1:55" ht="12" customHeight="1" x14ac:dyDescent="0.15">
      <c r="A26" s="19"/>
      <c r="B26" s="20"/>
      <c r="C26" s="12"/>
      <c r="D26" s="12"/>
      <c r="E26" s="3">
        <f t="shared" si="0"/>
        <v>0</v>
      </c>
      <c r="F26" s="1" t="s">
        <v>31</v>
      </c>
      <c r="G26" s="1"/>
      <c r="H26" s="4"/>
      <c r="I26" s="4"/>
      <c r="J26" s="4"/>
      <c r="K26" s="4"/>
      <c r="L26" s="4"/>
      <c r="M26" s="4"/>
      <c r="N26" s="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</row>
    <row r="27" spans="1:55" ht="12" customHeight="1" x14ac:dyDescent="0.15">
      <c r="A27" s="21" t="s">
        <v>41</v>
      </c>
      <c r="B27" s="21"/>
      <c r="C27" s="11"/>
      <c r="D27" s="11"/>
      <c r="E27" s="1">
        <f t="shared" si="0"/>
        <v>0</v>
      </c>
      <c r="F27" s="2" t="s">
        <v>29</v>
      </c>
      <c r="G27" s="2"/>
      <c r="H27" s="5">
        <v>20</v>
      </c>
      <c r="I27" s="5"/>
      <c r="J27" s="5"/>
      <c r="K27" s="5"/>
      <c r="L27" s="5"/>
      <c r="M27" s="5"/>
      <c r="N27" s="5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</row>
    <row r="28" spans="1:55" ht="12" customHeight="1" x14ac:dyDescent="0.15">
      <c r="A28" s="19"/>
      <c r="B28" s="19"/>
      <c r="C28" s="12"/>
      <c r="D28" s="12"/>
      <c r="E28" s="1">
        <f t="shared" si="0"/>
        <v>0</v>
      </c>
      <c r="F28" s="1" t="s">
        <v>30</v>
      </c>
      <c r="G28" s="1"/>
      <c r="H28" s="4">
        <v>26</v>
      </c>
      <c r="I28" s="4"/>
      <c r="J28" s="4"/>
      <c r="K28" s="4"/>
      <c r="L28" s="4"/>
      <c r="M28" s="4"/>
      <c r="N28" s="4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</row>
    <row r="29" spans="1:55" ht="12" customHeight="1" x14ac:dyDescent="0.15">
      <c r="A29" s="20"/>
      <c r="B29" s="20"/>
      <c r="C29" s="13"/>
      <c r="D29" s="13"/>
      <c r="E29" s="1">
        <f t="shared" si="0"/>
        <v>0</v>
      </c>
      <c r="F29" s="3" t="s">
        <v>31</v>
      </c>
      <c r="G29" s="3"/>
      <c r="H29" s="6"/>
      <c r="I29" s="6"/>
      <c r="J29" s="6"/>
      <c r="K29" s="6"/>
      <c r="L29" s="6"/>
      <c r="M29" s="6"/>
      <c r="N29" s="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</row>
    <row r="30" spans="1:55" ht="12" customHeight="1" x14ac:dyDescent="0.15">
      <c r="A30" s="19" t="s">
        <v>42</v>
      </c>
      <c r="B30" s="21"/>
      <c r="C30" s="12"/>
      <c r="D30" s="12"/>
      <c r="E30" s="2">
        <f t="shared" si="0"/>
        <v>0</v>
      </c>
      <c r="F30" s="1" t="s">
        <v>29</v>
      </c>
      <c r="G30" s="1"/>
      <c r="H30" s="4">
        <v>20</v>
      </c>
      <c r="I30" s="4"/>
      <c r="J30" s="4"/>
      <c r="K30" s="4"/>
      <c r="L30" s="4"/>
      <c r="M30" s="4"/>
      <c r="N30" s="4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</row>
    <row r="31" spans="1:55" ht="12" customHeight="1" x14ac:dyDescent="0.15">
      <c r="A31" s="19"/>
      <c r="B31" s="19"/>
      <c r="C31" s="12"/>
      <c r="D31" s="12"/>
      <c r="E31" s="1">
        <f t="shared" si="0"/>
        <v>0</v>
      </c>
      <c r="F31" s="1" t="s">
        <v>30</v>
      </c>
      <c r="G31" s="1"/>
      <c r="H31" s="4">
        <v>26</v>
      </c>
      <c r="I31" s="4"/>
      <c r="J31" s="4"/>
      <c r="K31" s="4"/>
      <c r="L31" s="4"/>
      <c r="M31" s="4"/>
      <c r="N31" s="4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</row>
    <row r="32" spans="1:55" ht="12" customHeight="1" x14ac:dyDescent="0.15">
      <c r="A32" s="20"/>
      <c r="B32" s="20"/>
      <c r="C32" s="13"/>
      <c r="D32" s="13"/>
      <c r="E32" s="3">
        <f t="shared" si="0"/>
        <v>0</v>
      </c>
      <c r="F32" s="3" t="s">
        <v>31</v>
      </c>
      <c r="G32" s="3"/>
      <c r="H32" s="6"/>
      <c r="I32" s="6"/>
      <c r="J32" s="6"/>
      <c r="K32" s="6"/>
      <c r="L32" s="6"/>
      <c r="M32" s="6"/>
      <c r="N32" s="6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</row>
    <row r="33" spans="1:56" ht="12" customHeight="1" x14ac:dyDescent="0.15">
      <c r="A33" s="21" t="s">
        <v>43</v>
      </c>
      <c r="B33" s="2"/>
      <c r="C33" s="11"/>
      <c r="D33" s="11"/>
      <c r="E33" s="1">
        <f t="shared" si="0"/>
        <v>0</v>
      </c>
      <c r="F33" s="2" t="s">
        <v>29</v>
      </c>
      <c r="G33" s="2"/>
      <c r="H33" s="5">
        <v>20</v>
      </c>
      <c r="I33" s="5"/>
      <c r="J33" s="5"/>
      <c r="K33" s="5"/>
      <c r="L33" s="5"/>
      <c r="M33" s="5"/>
      <c r="N33" s="5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</row>
    <row r="34" spans="1:56" ht="12" customHeight="1" x14ac:dyDescent="0.15">
      <c r="A34" s="19"/>
      <c r="B34" s="1"/>
      <c r="C34" s="12"/>
      <c r="D34" s="12"/>
      <c r="E34" s="1">
        <f t="shared" si="0"/>
        <v>0</v>
      </c>
      <c r="F34" s="1" t="s">
        <v>30</v>
      </c>
      <c r="G34" s="1"/>
      <c r="H34" s="4">
        <v>26</v>
      </c>
      <c r="I34" s="4"/>
      <c r="J34" s="4"/>
      <c r="K34" s="4"/>
      <c r="L34" s="4"/>
      <c r="M34" s="4"/>
      <c r="N34" s="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</row>
    <row r="35" spans="1:56" ht="12" customHeight="1" x14ac:dyDescent="0.15">
      <c r="A35" s="20"/>
      <c r="B35" s="3"/>
      <c r="C35" s="13"/>
      <c r="D35" s="13"/>
      <c r="E35" s="1">
        <f t="shared" si="0"/>
        <v>0</v>
      </c>
      <c r="F35" s="3" t="s">
        <v>31</v>
      </c>
      <c r="G35" s="3"/>
      <c r="H35" s="6"/>
      <c r="I35" s="6"/>
      <c r="J35" s="6"/>
      <c r="K35" s="6"/>
      <c r="L35" s="6"/>
      <c r="M35" s="6"/>
      <c r="N35" s="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</row>
    <row r="36" spans="1:56" ht="12" customHeight="1" x14ac:dyDescent="0.15">
      <c r="A36" s="19" t="s">
        <v>47</v>
      </c>
      <c r="B36" s="1"/>
      <c r="C36" s="12"/>
      <c r="D36" s="12"/>
      <c r="E36" s="2">
        <f t="shared" si="0"/>
        <v>0</v>
      </c>
      <c r="F36" s="1" t="s">
        <v>29</v>
      </c>
      <c r="G36" s="1"/>
      <c r="H36" s="4">
        <v>28</v>
      </c>
      <c r="I36" s="4"/>
      <c r="J36" s="4"/>
      <c r="K36" s="4"/>
      <c r="L36" s="4"/>
      <c r="M36" s="4"/>
      <c r="N36" s="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</row>
    <row r="37" spans="1:56" ht="12" customHeight="1" x14ac:dyDescent="0.15">
      <c r="A37" s="19"/>
      <c r="B37" s="1"/>
      <c r="C37" s="12"/>
      <c r="D37" s="12"/>
      <c r="E37" s="1">
        <f t="shared" si="0"/>
        <v>0</v>
      </c>
      <c r="F37" s="1" t="s">
        <v>30</v>
      </c>
      <c r="G37" s="1"/>
      <c r="H37" s="4">
        <v>24</v>
      </c>
      <c r="I37" s="4"/>
      <c r="J37" s="4"/>
      <c r="K37" s="4"/>
      <c r="L37" s="4"/>
      <c r="M37" s="4"/>
      <c r="N37" s="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</row>
    <row r="38" spans="1:56" ht="12" customHeight="1" x14ac:dyDescent="0.15">
      <c r="A38" s="20"/>
      <c r="B38" s="3"/>
      <c r="C38" s="13"/>
      <c r="D38" s="13"/>
      <c r="E38" s="3">
        <f t="shared" si="0"/>
        <v>0</v>
      </c>
      <c r="F38" s="3" t="s">
        <v>31</v>
      </c>
      <c r="G38" s="3"/>
      <c r="H38" s="6"/>
      <c r="I38" s="6"/>
      <c r="J38" s="6"/>
      <c r="K38" s="6"/>
      <c r="L38" s="6"/>
      <c r="M38" s="6"/>
      <c r="N38" s="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</row>
    <row r="39" spans="1:56" ht="12" customHeight="1" x14ac:dyDescent="0.15">
      <c r="O39" s="9">
        <v>50</v>
      </c>
      <c r="BD39" s="9">
        <f>SUM(O39:BC39)</f>
        <v>50</v>
      </c>
    </row>
    <row r="40" spans="1:56" ht="12" customHeight="1" x14ac:dyDescent="0.15"/>
    <row r="41" spans="1:56" s="7" customFormat="1" ht="12" customHeight="1" x14ac:dyDescent="0.15">
      <c r="A41" s="7" t="s">
        <v>56</v>
      </c>
      <c r="C41" s="18"/>
      <c r="D41" s="18"/>
      <c r="N41" s="7">
        <v>12.5</v>
      </c>
    </row>
    <row r="42" spans="1:56" s="7" customFormat="1" ht="12" customHeight="1" x14ac:dyDescent="0.15">
      <c r="A42" s="7" t="s">
        <v>0</v>
      </c>
      <c r="C42" s="18"/>
      <c r="D42" s="18"/>
      <c r="N42" s="7">
        <v>32</v>
      </c>
    </row>
    <row r="43" spans="1:56" s="7" customFormat="1" ht="12" customHeight="1" x14ac:dyDescent="0.15">
      <c r="A43" s="7" t="s">
        <v>54</v>
      </c>
      <c r="C43" s="18"/>
      <c r="D43" s="18"/>
      <c r="N43" s="7">
        <v>0.5</v>
      </c>
    </row>
    <row r="44" spans="1:56" s="7" customFormat="1" ht="12" customHeight="1" x14ac:dyDescent="0.15">
      <c r="A44" s="7" t="s">
        <v>55</v>
      </c>
      <c r="C44" s="18"/>
      <c r="D44" s="18"/>
      <c r="N44" s="7">
        <v>387</v>
      </c>
    </row>
    <row r="45" spans="1:56" s="7" customFormat="1" ht="12" customHeight="1" x14ac:dyDescent="0.15">
      <c r="A45" s="7" t="s">
        <v>53</v>
      </c>
      <c r="C45" s="18"/>
      <c r="D45" s="18"/>
      <c r="N45" s="7">
        <v>12</v>
      </c>
    </row>
    <row r="46" spans="1:56" s="7" customFormat="1" x14ac:dyDescent="0.15">
      <c r="A46" s="7" t="s">
        <v>2</v>
      </c>
      <c r="C46" s="18"/>
      <c r="D46" s="18"/>
      <c r="N46" s="7">
        <v>8</v>
      </c>
    </row>
    <row r="47" spans="1:56" s="7" customFormat="1" x14ac:dyDescent="0.15">
      <c r="A47" s="7" t="s">
        <v>3</v>
      </c>
      <c r="C47" s="18"/>
      <c r="D47" s="18"/>
      <c r="N47" s="7">
        <v>23</v>
      </c>
    </row>
  </sheetData>
  <mergeCells count="42">
    <mergeCell ref="BA4:BB4"/>
    <mergeCell ref="O3:BB3"/>
    <mergeCell ref="A3:A5"/>
    <mergeCell ref="F3:F5"/>
    <mergeCell ref="AM4:AO4"/>
    <mergeCell ref="AP4:AR4"/>
    <mergeCell ref="AS4:AT4"/>
    <mergeCell ref="AU4:AV4"/>
    <mergeCell ref="AW4:AX4"/>
    <mergeCell ref="AY4:AZ4"/>
    <mergeCell ref="AJ4:AL4"/>
    <mergeCell ref="W4:X4"/>
    <mergeCell ref="AA4:AB4"/>
    <mergeCell ref="O4:P4"/>
    <mergeCell ref="Q4:R4"/>
    <mergeCell ref="S4:T4"/>
    <mergeCell ref="AG4:AI4"/>
    <mergeCell ref="A6:A8"/>
    <mergeCell ref="A15:A17"/>
    <mergeCell ref="G3:N3"/>
    <mergeCell ref="A9:A11"/>
    <mergeCell ref="U4:V4"/>
    <mergeCell ref="Y4:Z4"/>
    <mergeCell ref="AE4:AF4"/>
    <mergeCell ref="AC4:AD4"/>
    <mergeCell ref="A12:A14"/>
    <mergeCell ref="A36:A38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A24:A26"/>
    <mergeCell ref="A27:A29"/>
    <mergeCell ref="A30:A32"/>
    <mergeCell ref="A33:A35"/>
    <mergeCell ref="A18:A20"/>
    <mergeCell ref="A21:A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HUY LONG</cp:lastModifiedBy>
  <dcterms:created xsi:type="dcterms:W3CDTF">2025-09-10T10:17:18Z</dcterms:created>
  <dcterms:modified xsi:type="dcterms:W3CDTF">2026-01-28T10:21:23Z</dcterms:modified>
</cp:coreProperties>
</file>